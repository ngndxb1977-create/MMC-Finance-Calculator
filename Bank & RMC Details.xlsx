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cuments\"/>
    </mc:Choice>
  </mc:AlternateContent>
  <xr:revisionPtr revIDLastSave="0" documentId="13_ncr:1_{D180DD28-9B94-4C0B-B087-C90484CA6C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nk Details" sheetId="5" r:id="rId1"/>
    <sheet name="RMC" sheetId="6" r:id="rId2"/>
  </sheets>
  <definedNames>
    <definedName name="_xlnm._FilterDatabase" localSheetId="1" hidden="1">RMC!$A$1:$H$1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pDiCCZnowhlhG8vO0vsKg3EH0crR7lTVxioPa/IgRgI="/>
    </ext>
  </extLst>
</workbook>
</file>

<file path=xl/calcChain.xml><?xml version="1.0" encoding="utf-8"?>
<calcChain xmlns="http://schemas.openxmlformats.org/spreadsheetml/2006/main">
  <c r="H80" i="6" l="1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80" i="6" l="1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<sst xmlns="http://schemas.openxmlformats.org/spreadsheetml/2006/main" count="301" uniqueCount="179">
  <si>
    <t>MOP61</t>
  </si>
  <si>
    <t>Salary Bracket</t>
  </si>
  <si>
    <t>5000-9999</t>
  </si>
  <si>
    <t>P61</t>
  </si>
  <si>
    <t>ROI</t>
  </si>
  <si>
    <t>Vehicle Model</t>
  </si>
  <si>
    <t>Variant Codes</t>
  </si>
  <si>
    <t>Montero P61</t>
  </si>
  <si>
    <t>Montero G61</t>
  </si>
  <si>
    <t>MOG61</t>
  </si>
  <si>
    <t>Montero G59 P</t>
  </si>
  <si>
    <t>MOG59P</t>
  </si>
  <si>
    <t>Montero G59</t>
  </si>
  <si>
    <t>MOG59</t>
  </si>
  <si>
    <t>Montero G64</t>
  </si>
  <si>
    <t>MOG64</t>
  </si>
  <si>
    <t>Montero P57</t>
  </si>
  <si>
    <t>MOP57</t>
  </si>
  <si>
    <t>Outlander P08P</t>
  </si>
  <si>
    <t>OTP08</t>
  </si>
  <si>
    <t>Outlander F08</t>
  </si>
  <si>
    <t>OTF08</t>
  </si>
  <si>
    <t>Outlander P06-01</t>
  </si>
  <si>
    <t>OTP06-01</t>
  </si>
  <si>
    <t>Outlander P06</t>
  </si>
  <si>
    <t>OTP06</t>
  </si>
  <si>
    <t>Outlander F06</t>
  </si>
  <si>
    <t>OTF06</t>
  </si>
  <si>
    <t>Outlander P03</t>
  </si>
  <si>
    <t>OTP03</t>
  </si>
  <si>
    <t>Outlander F03</t>
  </si>
  <si>
    <t>OTF03</t>
  </si>
  <si>
    <t>Xpander Cross</t>
  </si>
  <si>
    <t>XC</t>
  </si>
  <si>
    <t>Xpander ML P-01</t>
  </si>
  <si>
    <t>XPMLP-01</t>
  </si>
  <si>
    <t>Xpander ML P</t>
  </si>
  <si>
    <t>XPMLP</t>
  </si>
  <si>
    <t>Xpander HL</t>
  </si>
  <si>
    <t>XPHL</t>
  </si>
  <si>
    <t>Xpander ML</t>
  </si>
  <si>
    <t>XPML</t>
  </si>
  <si>
    <t>Eclipse G43</t>
  </si>
  <si>
    <t>ECG43</t>
  </si>
  <si>
    <t>Eclipse G40</t>
  </si>
  <si>
    <t>ECG40</t>
  </si>
  <si>
    <t>Eclipse G37</t>
  </si>
  <si>
    <t>ECG37</t>
  </si>
  <si>
    <t>Eclipse G38</t>
  </si>
  <si>
    <t>ECG38</t>
  </si>
  <si>
    <t>ASX G45</t>
  </si>
  <si>
    <t>ASG45</t>
  </si>
  <si>
    <t>ASX G44</t>
  </si>
  <si>
    <t>ASG44</t>
  </si>
  <si>
    <t>ASX G42</t>
  </si>
  <si>
    <t>ASG42</t>
  </si>
  <si>
    <t>ASXG40</t>
  </si>
  <si>
    <t>ASG40</t>
  </si>
  <si>
    <t>ASX G43</t>
  </si>
  <si>
    <t>ASG43</t>
  </si>
  <si>
    <t>ASX G48</t>
  </si>
  <si>
    <t>ASG48</t>
  </si>
  <si>
    <t>Attrage G17</t>
  </si>
  <si>
    <t>ATG17</t>
  </si>
  <si>
    <t>Attrage G16</t>
  </si>
  <si>
    <t>ATG16</t>
  </si>
  <si>
    <t>MirageG10</t>
  </si>
  <si>
    <t>MIG10</t>
  </si>
  <si>
    <t>Mirage G09</t>
  </si>
  <si>
    <t>MIG09</t>
  </si>
  <si>
    <t>Attrage H16</t>
  </si>
  <si>
    <t>H16</t>
  </si>
  <si>
    <t>Attrage P16</t>
  </si>
  <si>
    <t>P16</t>
  </si>
  <si>
    <t>Attrage H17</t>
  </si>
  <si>
    <t>H17</t>
  </si>
  <si>
    <t>Destinator HL</t>
  </si>
  <si>
    <t>HL</t>
  </si>
  <si>
    <t>Destinator HLP</t>
  </si>
  <si>
    <t>HLP</t>
  </si>
  <si>
    <t>Destinator ML</t>
  </si>
  <si>
    <t>ML</t>
  </si>
  <si>
    <t>Destinator MLP</t>
  </si>
  <si>
    <t>MLP</t>
  </si>
  <si>
    <t>Destinator PR</t>
  </si>
  <si>
    <t>PR</t>
  </si>
  <si>
    <t>Destinator PRP</t>
  </si>
  <si>
    <t>PRP</t>
  </si>
  <si>
    <t>H59</t>
  </si>
  <si>
    <t>H61</t>
  </si>
  <si>
    <t>P59</t>
  </si>
  <si>
    <t>P57</t>
  </si>
  <si>
    <t>H64</t>
  </si>
  <si>
    <t>Montero H57</t>
  </si>
  <si>
    <t>H57</t>
  </si>
  <si>
    <t>Outlander P08</t>
  </si>
  <si>
    <t>P08</t>
  </si>
  <si>
    <t>Outlander P09</t>
  </si>
  <si>
    <t>P09</t>
  </si>
  <si>
    <t>Outlander G09</t>
  </si>
  <si>
    <t>G09</t>
  </si>
  <si>
    <t>Outlander G08</t>
  </si>
  <si>
    <t>G08</t>
  </si>
  <si>
    <t>Outlander G05</t>
  </si>
  <si>
    <t>G05</t>
  </si>
  <si>
    <t>Outlander P05</t>
  </si>
  <si>
    <t>P05</t>
  </si>
  <si>
    <t>Outlander G12</t>
  </si>
  <si>
    <t>G12</t>
  </si>
  <si>
    <t>Outlander P12</t>
  </si>
  <si>
    <t>P12</t>
  </si>
  <si>
    <t>P06</t>
  </si>
  <si>
    <t>P03</t>
  </si>
  <si>
    <t>Outlander G06</t>
  </si>
  <si>
    <t>G06</t>
  </si>
  <si>
    <t>Outlander G03</t>
  </si>
  <si>
    <t>G03</t>
  </si>
  <si>
    <t>Outlander G10</t>
  </si>
  <si>
    <t>G10</t>
  </si>
  <si>
    <t>Outlander P10</t>
  </si>
  <si>
    <t>P10</t>
  </si>
  <si>
    <t>Eclipse H37</t>
  </si>
  <si>
    <t>H37</t>
  </si>
  <si>
    <t>Eclipse H38</t>
  </si>
  <si>
    <t>H38</t>
  </si>
  <si>
    <t>Eclipse H40</t>
  </si>
  <si>
    <t>EH40</t>
  </si>
  <si>
    <t>Eclipse H43</t>
  </si>
  <si>
    <t>EH43</t>
  </si>
  <si>
    <t>ASX H45</t>
  </si>
  <si>
    <t>H45</t>
  </si>
  <si>
    <t>ASX H48</t>
  </si>
  <si>
    <t>H48</t>
  </si>
  <si>
    <t>ASX H42</t>
  </si>
  <si>
    <t>H42</t>
  </si>
  <si>
    <t>ASX H44</t>
  </si>
  <si>
    <t>H44</t>
  </si>
  <si>
    <t>ASX H40</t>
  </si>
  <si>
    <t>H40</t>
  </si>
  <si>
    <t>ASX H43</t>
  </si>
  <si>
    <t>H43</t>
  </si>
  <si>
    <t>Sr No</t>
  </si>
  <si>
    <t>Bank Name</t>
  </si>
  <si>
    <t>ADCB</t>
  </si>
  <si>
    <t>5000-19999</t>
  </si>
  <si>
    <t>20000-40000</t>
  </si>
  <si>
    <t>Emirates NBD</t>
  </si>
  <si>
    <t>4000-14999</t>
  </si>
  <si>
    <t>15000-29999</t>
  </si>
  <si>
    <t>30000-49999</t>
  </si>
  <si>
    <t>50000-99999</t>
  </si>
  <si>
    <t>10000-14999</t>
  </si>
  <si>
    <t>15000-24999</t>
  </si>
  <si>
    <t>25000-34999</t>
  </si>
  <si>
    <t>35000-99999</t>
  </si>
  <si>
    <t>RMC-10-40</t>
  </si>
  <si>
    <t>RMC-10-60</t>
  </si>
  <si>
    <t>RMC-10-70</t>
  </si>
  <si>
    <t>RMC-10-100</t>
  </si>
  <si>
    <t>DIB Local GVH</t>
  </si>
  <si>
    <t>DIB Expat</t>
  </si>
  <si>
    <t>10000-19999</t>
  </si>
  <si>
    <t>20000-34999</t>
  </si>
  <si>
    <t>35000-49999</t>
  </si>
  <si>
    <t>SIB STL-Local</t>
  </si>
  <si>
    <t>SIB NON STL-Local</t>
  </si>
  <si>
    <t>SIB STL-Expat</t>
  </si>
  <si>
    <t>SIB NON STL-Expat</t>
  </si>
  <si>
    <t>Montero Sport</t>
  </si>
  <si>
    <t xml:space="preserve">Xpander </t>
  </si>
  <si>
    <t xml:space="preserve">Eclipse Cross </t>
  </si>
  <si>
    <t>Model Year</t>
  </si>
  <si>
    <t xml:space="preserve">Variant </t>
  </si>
  <si>
    <t>Outlander</t>
  </si>
  <si>
    <t>ASX</t>
  </si>
  <si>
    <t>Attrage</t>
  </si>
  <si>
    <t>Mirage</t>
  </si>
  <si>
    <t xml:space="preserve">Mirage </t>
  </si>
  <si>
    <t>Destinator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</si>
</sst>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43" fontId="3" fillId="2" borderId="0" xfId="1" applyFont="1" applyFill="1" applyAlignment="1"/>
    <xf numFmtId="43" fontId="3" fillId="0" borderId="0" xfId="1" applyFont="1" applyAlignment="1"/>
    <xf numFmtId="43" fontId="0" fillId="0" borderId="0" xfId="1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selection activeCell="G25" sqref="G25"/>
    </sheetView>
  </sheetViews>
  <sheetFormatPr defaultColWidth="12.5703125" defaultRowHeight="15" customHeight="1" x14ac:dyDescent="0.25"/>
  <cols>
    <col min="1" max="1" width="6.28515625" style="6" bestFit="1" customWidth="1"/>
    <col min="2" max="2" width="19.85546875" bestFit="1" customWidth="1"/>
    <col min="3" max="3" width="14.7109375" bestFit="1" customWidth="1"/>
    <col min="4" max="4" width="6.85546875" bestFit="1" customWidth="1"/>
    <col min="5" max="5" width="14.7109375" bestFit="1" customWidth="1"/>
    <col min="6" max="6" width="6.85546875" bestFit="1" customWidth="1"/>
    <col min="7" max="7" width="14.7109375" bestFit="1" customWidth="1"/>
    <col min="8" max="8" width="6.85546875" bestFit="1" customWidth="1"/>
    <col min="9" max="9" width="14.7109375" bestFit="1" customWidth="1"/>
    <col min="10" max="10" width="6.85546875" bestFit="1" customWidth="1"/>
    <col min="11" max="11" width="14.7109375" bestFit="1" customWidth="1"/>
    <col min="12" max="12" width="6.85546875" bestFit="1" customWidth="1"/>
    <col min="13" max="26" width="8.5703125" customWidth="1"/>
  </cols>
  <sheetData>
    <row r="1" spans="1:12" ht="14.25" customHeight="1" x14ac:dyDescent="0.25">
      <c r="A1" s="7" t="s">
        <v>141</v>
      </c>
      <c r="B1" s="7" t="s">
        <v>142</v>
      </c>
      <c r="C1" s="7" t="s">
        <v>1</v>
      </c>
      <c r="D1" s="7" t="s">
        <v>4</v>
      </c>
      <c r="E1" s="7" t="s">
        <v>1</v>
      </c>
      <c r="F1" s="7" t="s">
        <v>4</v>
      </c>
      <c r="G1" s="7" t="s">
        <v>1</v>
      </c>
      <c r="H1" s="7" t="s">
        <v>4</v>
      </c>
      <c r="I1" s="7" t="s">
        <v>1</v>
      </c>
      <c r="J1" s="7" t="s">
        <v>4</v>
      </c>
      <c r="K1" s="7" t="s">
        <v>1</v>
      </c>
      <c r="L1" s="7" t="s">
        <v>4</v>
      </c>
    </row>
    <row r="2" spans="1:12" ht="14.25" customHeight="1" x14ac:dyDescent="0.25">
      <c r="A2" s="5">
        <v>1</v>
      </c>
      <c r="B2" s="3" t="s">
        <v>143</v>
      </c>
      <c r="C2" s="3" t="s">
        <v>144</v>
      </c>
      <c r="D2" s="4">
        <v>2.75E-2</v>
      </c>
      <c r="E2" s="3" t="s">
        <v>145</v>
      </c>
      <c r="F2" s="4">
        <v>2.2499999999999999E-2</v>
      </c>
      <c r="G2" s="3"/>
      <c r="H2" s="4"/>
      <c r="I2" s="3"/>
      <c r="J2" s="4"/>
      <c r="K2" s="3"/>
      <c r="L2" s="4"/>
    </row>
    <row r="3" spans="1:12" ht="14.25" customHeight="1" x14ac:dyDescent="0.25">
      <c r="A3" s="5">
        <v>2</v>
      </c>
      <c r="B3" s="3" t="s">
        <v>146</v>
      </c>
      <c r="C3" s="3" t="s">
        <v>147</v>
      </c>
      <c r="D3" s="4">
        <v>3.8899999999999997E-2</v>
      </c>
      <c r="E3" s="3" t="s">
        <v>148</v>
      </c>
      <c r="F3" s="4">
        <v>2.69E-2</v>
      </c>
      <c r="G3" s="3" t="s">
        <v>149</v>
      </c>
      <c r="H3" s="4">
        <v>2.3900000000000001E-2</v>
      </c>
      <c r="I3" s="3" t="s">
        <v>150</v>
      </c>
      <c r="J3" s="4">
        <v>2.1899999999999999E-2</v>
      </c>
      <c r="K3" s="3"/>
      <c r="L3" s="4"/>
    </row>
    <row r="4" spans="1:12" ht="14.25" customHeight="1" x14ac:dyDescent="0.25">
      <c r="A4" s="5">
        <v>3</v>
      </c>
      <c r="B4" s="3" t="s">
        <v>160</v>
      </c>
      <c r="C4" s="3" t="s">
        <v>2</v>
      </c>
      <c r="D4" s="4">
        <v>4.7500000000000001E-2</v>
      </c>
      <c r="E4" s="3" t="s">
        <v>151</v>
      </c>
      <c r="F4" s="4">
        <v>3.15E-2</v>
      </c>
      <c r="G4" s="3" t="s">
        <v>152</v>
      </c>
      <c r="H4" s="4">
        <v>2.5000000000000001E-2</v>
      </c>
      <c r="I4" s="3" t="s">
        <v>153</v>
      </c>
      <c r="J4" s="4">
        <v>2.2499999999999999E-2</v>
      </c>
      <c r="K4" s="3" t="s">
        <v>154</v>
      </c>
      <c r="L4" s="4">
        <v>2.1499999999999998E-2</v>
      </c>
    </row>
    <row r="5" spans="1:12" ht="14.25" customHeight="1" x14ac:dyDescent="0.25">
      <c r="A5" s="5">
        <v>4</v>
      </c>
      <c r="B5" s="3" t="s">
        <v>159</v>
      </c>
      <c r="C5" s="3" t="s">
        <v>2</v>
      </c>
      <c r="D5" s="4">
        <v>3.2500000000000001E-2</v>
      </c>
      <c r="E5" s="3" t="s">
        <v>151</v>
      </c>
      <c r="F5" s="4">
        <v>0.03</v>
      </c>
      <c r="G5" s="3" t="s">
        <v>152</v>
      </c>
      <c r="H5" s="4">
        <v>2.2499999999999999E-2</v>
      </c>
      <c r="I5" s="3" t="s">
        <v>153</v>
      </c>
      <c r="J5" s="4">
        <v>2.1499999999999998E-2</v>
      </c>
      <c r="K5" s="3" t="s">
        <v>154</v>
      </c>
      <c r="L5" s="4">
        <v>1.9900000000000001E-2</v>
      </c>
    </row>
    <row r="6" spans="1:12" ht="14.25" customHeight="1" x14ac:dyDescent="0.25">
      <c r="A6" s="5">
        <v>5</v>
      </c>
      <c r="B6" s="3" t="s">
        <v>164</v>
      </c>
      <c r="C6" s="3" t="s">
        <v>2</v>
      </c>
      <c r="D6" s="4">
        <v>2.4899999999999999E-2</v>
      </c>
      <c r="E6" s="3" t="s">
        <v>161</v>
      </c>
      <c r="F6" s="4">
        <v>2.1899999999999999E-2</v>
      </c>
      <c r="G6" s="3" t="s">
        <v>162</v>
      </c>
      <c r="H6" s="4">
        <v>2.0899999999999998E-2</v>
      </c>
      <c r="I6" s="3" t="s">
        <v>163</v>
      </c>
      <c r="J6" s="4">
        <v>1.89E-2</v>
      </c>
      <c r="K6" s="3" t="s">
        <v>150</v>
      </c>
      <c r="L6" s="4">
        <v>1.7899999999999999E-2</v>
      </c>
    </row>
    <row r="7" spans="1:12" ht="14.25" customHeight="1" x14ac:dyDescent="0.25">
      <c r="A7" s="5">
        <v>6</v>
      </c>
      <c r="B7" s="3" t="s">
        <v>165</v>
      </c>
      <c r="C7" s="3" t="s">
        <v>2</v>
      </c>
      <c r="D7" s="4">
        <v>2.5899999999999999E-2</v>
      </c>
      <c r="E7" s="3" t="s">
        <v>161</v>
      </c>
      <c r="F7" s="4">
        <v>2.29E-2</v>
      </c>
      <c r="G7" s="3" t="s">
        <v>162</v>
      </c>
      <c r="H7" s="4">
        <v>2.1899999999999999E-2</v>
      </c>
      <c r="I7" s="3" t="s">
        <v>163</v>
      </c>
      <c r="J7" s="4">
        <v>1.9900000000000001E-2</v>
      </c>
      <c r="K7" s="3" t="s">
        <v>150</v>
      </c>
      <c r="L7" s="4">
        <v>1.89E-2</v>
      </c>
    </row>
    <row r="8" spans="1:12" ht="14.25" customHeight="1" x14ac:dyDescent="0.25">
      <c r="A8" s="5">
        <v>7</v>
      </c>
      <c r="B8" s="3" t="s">
        <v>166</v>
      </c>
      <c r="C8" s="3" t="s">
        <v>2</v>
      </c>
      <c r="D8" s="4">
        <v>2.7900000000000001E-2</v>
      </c>
      <c r="E8" s="3" t="s">
        <v>161</v>
      </c>
      <c r="F8" s="4">
        <v>2.4899999999999999E-2</v>
      </c>
      <c r="G8" s="3" t="s">
        <v>162</v>
      </c>
      <c r="H8" s="4">
        <v>2.29E-2</v>
      </c>
      <c r="I8" s="3" t="s">
        <v>163</v>
      </c>
      <c r="J8" s="4">
        <v>2.0899999999999998E-2</v>
      </c>
      <c r="K8" s="3" t="s">
        <v>150</v>
      </c>
      <c r="L8" s="4">
        <v>1.9900000000000001E-2</v>
      </c>
    </row>
    <row r="9" spans="1:12" ht="14.25" customHeight="1" x14ac:dyDescent="0.25">
      <c r="A9" s="5">
        <v>8</v>
      </c>
      <c r="B9" s="3" t="s">
        <v>167</v>
      </c>
      <c r="C9" s="3" t="s">
        <v>2</v>
      </c>
      <c r="D9" s="4">
        <v>2.9899999999999999E-2</v>
      </c>
      <c r="E9" s="3" t="s">
        <v>161</v>
      </c>
      <c r="F9" s="4">
        <v>2.69E-2</v>
      </c>
      <c r="G9" s="3" t="s">
        <v>162</v>
      </c>
      <c r="H9" s="4">
        <v>2.4899999999999999E-2</v>
      </c>
      <c r="I9" s="3" t="s">
        <v>163</v>
      </c>
      <c r="J9" s="4">
        <v>2.29E-2</v>
      </c>
      <c r="K9" s="3" t="s">
        <v>150</v>
      </c>
      <c r="L9" s="4">
        <v>2.1899999999999999E-2</v>
      </c>
    </row>
    <row r="10" spans="1:12" ht="14.25" customHeight="1" x14ac:dyDescent="0.25"/>
    <row r="11" spans="1:12" ht="14.25" customHeight="1" x14ac:dyDescent="0.25"/>
    <row r="12" spans="1:12" ht="14.25" customHeight="1" x14ac:dyDescent="0.25"/>
    <row r="13" spans="1:12" ht="14.25" customHeight="1" x14ac:dyDescent="0.25"/>
    <row r="14" spans="1:12" ht="14.25" customHeight="1" x14ac:dyDescent="0.25"/>
    <row r="15" spans="1:12" ht="14.25" customHeight="1" x14ac:dyDescent="0.25"/>
    <row r="16" spans="1:1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tabSelected="1" workbookViewId="0">
      <selection activeCell="D10" sqref="D10"/>
    </sheetView>
  </sheetViews>
  <sheetFormatPr defaultColWidth="12.5703125" defaultRowHeight="15" customHeight="1" x14ac:dyDescent="0.25"/>
  <cols>
    <col min="1" max="1" width="20" bestFit="1" customWidth="1"/>
    <col min="2" max="2" width="20" style="6" customWidth="1"/>
    <col min="3" max="3" width="16.42578125" bestFit="1" customWidth="1"/>
    <col min="4" max="4" width="13.42578125" bestFit="1" customWidth="1"/>
    <col min="5" max="7" width="13.28515625" style="10" bestFit="1" customWidth="1"/>
    <col min="8" max="8" width="14.42578125" style="10" bestFit="1" customWidth="1"/>
    <col min="9" max="27" width="8.5703125" customWidth="1"/>
  </cols>
  <sheetData>
    <row r="1" spans="1:8" ht="14.25" customHeight="1" x14ac:dyDescent="0.25">
      <c r="A1" s="1" t="s">
        <v>5</v>
      </c>
      <c r="B1" s="11" t="s">
        <v>171</v>
      </c>
      <c r="C1" s="1" t="s">
        <v>172</v>
      </c>
      <c r="D1" s="1" t="s">
        <v>6</v>
      </c>
      <c r="E1" s="8" t="s">
        <v>155</v>
      </c>
      <c r="F1" s="8" t="s">
        <v>156</v>
      </c>
      <c r="G1" s="8" t="s">
        <v>157</v>
      </c>
      <c r="H1" s="8" t="s">
        <v>158</v>
      </c>
    </row>
    <row r="2" spans="1:8" ht="14.25" customHeight="1" x14ac:dyDescent="0.25">
      <c r="A2" s="2" t="s">
        <v>168</v>
      </c>
      <c r="B2" s="12">
        <v>2025</v>
      </c>
      <c r="C2" s="2" t="s">
        <v>7</v>
      </c>
      <c r="D2" s="2" t="s">
        <v>0</v>
      </c>
      <c r="E2" s="9">
        <f>4300*1.05</f>
        <v>4515</v>
      </c>
      <c r="F2" s="9">
        <f>5200*1.05</f>
        <v>5460</v>
      </c>
      <c r="G2" s="9">
        <f>5900*1.05</f>
        <v>6195</v>
      </c>
      <c r="H2" s="9">
        <f>9300*1.05</f>
        <v>9765</v>
      </c>
    </row>
    <row r="3" spans="1:8" ht="14.25" customHeight="1" x14ac:dyDescent="0.25">
      <c r="A3" s="2" t="s">
        <v>168</v>
      </c>
      <c r="B3" s="12">
        <v>2025</v>
      </c>
      <c r="C3" s="2" t="s">
        <v>8</v>
      </c>
      <c r="D3" s="2" t="s">
        <v>9</v>
      </c>
      <c r="E3" s="9">
        <f t="shared" ref="E3:E7" si="0">4300*1.05</f>
        <v>4515</v>
      </c>
      <c r="F3" s="9">
        <f t="shared" ref="F3:F7" si="1">5200*1.05</f>
        <v>5460</v>
      </c>
      <c r="G3" s="9">
        <f t="shared" ref="G3:G7" si="2">5900*1.05</f>
        <v>6195</v>
      </c>
      <c r="H3" s="9">
        <f t="shared" ref="H3:H7" si="3">9300*1.05</f>
        <v>9765</v>
      </c>
    </row>
    <row r="4" spans="1:8" ht="14.25" customHeight="1" x14ac:dyDescent="0.25">
      <c r="A4" s="2" t="s">
        <v>168</v>
      </c>
      <c r="B4" s="12">
        <v>2025</v>
      </c>
      <c r="C4" s="2" t="s">
        <v>10</v>
      </c>
      <c r="D4" s="2" t="s">
        <v>11</v>
      </c>
      <c r="E4" s="9">
        <f t="shared" si="0"/>
        <v>4515</v>
      </c>
      <c r="F4" s="9">
        <f t="shared" si="1"/>
        <v>5460</v>
      </c>
      <c r="G4" s="9">
        <f t="shared" si="2"/>
        <v>6195</v>
      </c>
      <c r="H4" s="9">
        <f t="shared" si="3"/>
        <v>9765</v>
      </c>
    </row>
    <row r="5" spans="1:8" ht="14.25" customHeight="1" x14ac:dyDescent="0.25">
      <c r="A5" s="2" t="s">
        <v>168</v>
      </c>
      <c r="B5" s="12">
        <v>2025</v>
      </c>
      <c r="C5" s="2" t="s">
        <v>12</v>
      </c>
      <c r="D5" s="2" t="s">
        <v>13</v>
      </c>
      <c r="E5" s="9">
        <f t="shared" si="0"/>
        <v>4515</v>
      </c>
      <c r="F5" s="9">
        <f t="shared" si="1"/>
        <v>5460</v>
      </c>
      <c r="G5" s="9">
        <f t="shared" si="2"/>
        <v>6195</v>
      </c>
      <c r="H5" s="9">
        <f t="shared" si="3"/>
        <v>9765</v>
      </c>
    </row>
    <row r="6" spans="1:8" ht="14.25" customHeight="1" x14ac:dyDescent="0.25">
      <c r="A6" s="2" t="s">
        <v>168</v>
      </c>
      <c r="B6" s="12">
        <v>2025</v>
      </c>
      <c r="C6" s="2" t="s">
        <v>14</v>
      </c>
      <c r="D6" s="2" t="s">
        <v>15</v>
      </c>
      <c r="E6" s="9">
        <f t="shared" si="0"/>
        <v>4515</v>
      </c>
      <c r="F6" s="9">
        <f t="shared" si="1"/>
        <v>5460</v>
      </c>
      <c r="G6" s="9">
        <f t="shared" si="2"/>
        <v>6195</v>
      </c>
      <c r="H6" s="9">
        <f t="shared" si="3"/>
        <v>9765</v>
      </c>
    </row>
    <row r="7" spans="1:8" ht="14.25" customHeight="1" x14ac:dyDescent="0.25">
      <c r="A7" s="2" t="s">
        <v>168</v>
      </c>
      <c r="B7" s="12">
        <v>2025</v>
      </c>
      <c r="C7" s="2" t="s">
        <v>16</v>
      </c>
      <c r="D7" s="2" t="s">
        <v>17</v>
      </c>
      <c r="E7" s="9">
        <f t="shared" si="0"/>
        <v>4515</v>
      </c>
      <c r="F7" s="9">
        <f t="shared" si="1"/>
        <v>5460</v>
      </c>
      <c r="G7" s="9">
        <f t="shared" si="2"/>
        <v>6195</v>
      </c>
      <c r="H7" s="9">
        <f t="shared" si="3"/>
        <v>9765</v>
      </c>
    </row>
    <row r="8" spans="1:8" ht="14.25" customHeight="1" x14ac:dyDescent="0.25">
      <c r="A8" s="2" t="s">
        <v>173</v>
      </c>
      <c r="B8" s="12">
        <v>2025</v>
      </c>
      <c r="C8" s="2" t="s">
        <v>18</v>
      </c>
      <c r="D8" s="2" t="s">
        <v>19</v>
      </c>
      <c r="E8" s="9">
        <f>5000*1.05</f>
        <v>5250</v>
      </c>
      <c r="F8" s="9">
        <f>6000*1.05</f>
        <v>6300</v>
      </c>
      <c r="G8" s="9">
        <f>6700*1.05</f>
        <v>7035</v>
      </c>
      <c r="H8" s="9">
        <f>11000*1.05</f>
        <v>11550</v>
      </c>
    </row>
    <row r="9" spans="1:8" ht="14.25" customHeight="1" x14ac:dyDescent="0.25">
      <c r="A9" s="2" t="s">
        <v>173</v>
      </c>
      <c r="B9" s="12">
        <v>2025</v>
      </c>
      <c r="C9" s="2" t="s">
        <v>20</v>
      </c>
      <c r="D9" s="2" t="s">
        <v>21</v>
      </c>
      <c r="E9" s="9">
        <f t="shared" ref="E9:E14" si="4">5000*1.05</f>
        <v>5250</v>
      </c>
      <c r="F9" s="9">
        <f t="shared" ref="F9:F14" si="5">6000*1.05</f>
        <v>6300</v>
      </c>
      <c r="G9" s="9">
        <f t="shared" ref="G9:G14" si="6">6700*1.05</f>
        <v>7035</v>
      </c>
      <c r="H9" s="9">
        <f t="shared" ref="H9:H14" si="7">11000*1.05</f>
        <v>11550</v>
      </c>
    </row>
    <row r="10" spans="1:8" ht="14.25" customHeight="1" x14ac:dyDescent="0.25">
      <c r="A10" s="2" t="s">
        <v>173</v>
      </c>
      <c r="B10" s="12">
        <v>2025</v>
      </c>
      <c r="C10" s="2" t="s">
        <v>22</v>
      </c>
      <c r="D10" s="2" t="s">
        <v>23</v>
      </c>
      <c r="E10" s="9">
        <f t="shared" si="4"/>
        <v>5250</v>
      </c>
      <c r="F10" s="9">
        <f t="shared" si="5"/>
        <v>6300</v>
      </c>
      <c r="G10" s="9">
        <f t="shared" si="6"/>
        <v>7035</v>
      </c>
      <c r="H10" s="9">
        <f t="shared" si="7"/>
        <v>11550</v>
      </c>
    </row>
    <row r="11" spans="1:8" ht="14.25" customHeight="1" x14ac:dyDescent="0.25">
      <c r="A11" s="2" t="s">
        <v>173</v>
      </c>
      <c r="B11" s="12">
        <v>2025</v>
      </c>
      <c r="C11" s="2" t="s">
        <v>24</v>
      </c>
      <c r="D11" s="2" t="s">
        <v>25</v>
      </c>
      <c r="E11" s="9">
        <f t="shared" si="4"/>
        <v>5250</v>
      </c>
      <c r="F11" s="9">
        <f t="shared" si="5"/>
        <v>6300</v>
      </c>
      <c r="G11" s="9">
        <f t="shared" si="6"/>
        <v>7035</v>
      </c>
      <c r="H11" s="9">
        <f t="shared" si="7"/>
        <v>11550</v>
      </c>
    </row>
    <row r="12" spans="1:8" ht="14.25" customHeight="1" x14ac:dyDescent="0.25">
      <c r="A12" s="2" t="s">
        <v>173</v>
      </c>
      <c r="B12" s="12">
        <v>2025</v>
      </c>
      <c r="C12" s="2" t="s">
        <v>26</v>
      </c>
      <c r="D12" s="2" t="s">
        <v>27</v>
      </c>
      <c r="E12" s="9">
        <f t="shared" si="4"/>
        <v>5250</v>
      </c>
      <c r="F12" s="9">
        <f t="shared" si="5"/>
        <v>6300</v>
      </c>
      <c r="G12" s="9">
        <f t="shared" si="6"/>
        <v>7035</v>
      </c>
      <c r="H12" s="9">
        <f t="shared" si="7"/>
        <v>11550</v>
      </c>
    </row>
    <row r="13" spans="1:8" ht="14.25" customHeight="1" x14ac:dyDescent="0.25">
      <c r="A13" s="2" t="s">
        <v>173</v>
      </c>
      <c r="B13" s="12">
        <v>2025</v>
      </c>
      <c r="C13" s="2" t="s">
        <v>28</v>
      </c>
      <c r="D13" s="2" t="s">
        <v>29</v>
      </c>
      <c r="E13" s="9">
        <f t="shared" si="4"/>
        <v>5250</v>
      </c>
      <c r="F13" s="9">
        <f t="shared" si="5"/>
        <v>6300</v>
      </c>
      <c r="G13" s="9">
        <f t="shared" si="6"/>
        <v>7035</v>
      </c>
      <c r="H13" s="9">
        <f t="shared" si="7"/>
        <v>11550</v>
      </c>
    </row>
    <row r="14" spans="1:8" ht="14.25" customHeight="1" x14ac:dyDescent="0.25">
      <c r="A14" s="2" t="s">
        <v>173</v>
      </c>
      <c r="B14" s="12">
        <v>2025</v>
      </c>
      <c r="C14" s="2" t="s">
        <v>30</v>
      </c>
      <c r="D14" s="2" t="s">
        <v>31</v>
      </c>
      <c r="E14" s="9">
        <f t="shared" si="4"/>
        <v>5250</v>
      </c>
      <c r="F14" s="9">
        <f t="shared" si="5"/>
        <v>6300</v>
      </c>
      <c r="G14" s="9">
        <f t="shared" si="6"/>
        <v>7035</v>
      </c>
      <c r="H14" s="9">
        <f t="shared" si="7"/>
        <v>11550</v>
      </c>
    </row>
    <row r="15" spans="1:8" ht="14.25" customHeight="1" x14ac:dyDescent="0.25">
      <c r="A15" s="2" t="s">
        <v>169</v>
      </c>
      <c r="B15" s="12">
        <v>2025</v>
      </c>
      <c r="C15" s="2" t="s">
        <v>32</v>
      </c>
      <c r="D15" s="2" t="s">
        <v>33</v>
      </c>
      <c r="E15" s="9">
        <f>4500*1.05</f>
        <v>4725</v>
      </c>
      <c r="F15" s="9">
        <f>5400*1.05</f>
        <v>5670</v>
      </c>
      <c r="G15" s="9">
        <f>6100*1.05</f>
        <v>6405</v>
      </c>
      <c r="H15" s="9">
        <f>9700*1.05</f>
        <v>10185</v>
      </c>
    </row>
    <row r="16" spans="1:8" ht="14.25" customHeight="1" x14ac:dyDescent="0.25">
      <c r="A16" s="2" t="s">
        <v>169</v>
      </c>
      <c r="B16" s="12">
        <v>2025</v>
      </c>
      <c r="C16" s="2" t="s">
        <v>34</v>
      </c>
      <c r="D16" s="2" t="s">
        <v>35</v>
      </c>
      <c r="E16" s="9">
        <f t="shared" ref="E16:E19" si="8">4500*1.05</f>
        <v>4725</v>
      </c>
      <c r="F16" s="9">
        <f t="shared" ref="F16:F19" si="9">5400*1.05</f>
        <v>5670</v>
      </c>
      <c r="G16" s="9">
        <f t="shared" ref="G16:G19" si="10">6100*1.05</f>
        <v>6405</v>
      </c>
      <c r="H16" s="9">
        <f t="shared" ref="H16:H19" si="11">9700*1.05</f>
        <v>10185</v>
      </c>
    </row>
    <row r="17" spans="1:8" ht="14.25" customHeight="1" x14ac:dyDescent="0.25">
      <c r="A17" s="2" t="s">
        <v>169</v>
      </c>
      <c r="B17" s="12">
        <v>2025</v>
      </c>
      <c r="C17" s="2" t="s">
        <v>36</v>
      </c>
      <c r="D17" s="2" t="s">
        <v>37</v>
      </c>
      <c r="E17" s="9">
        <f t="shared" si="8"/>
        <v>4725</v>
      </c>
      <c r="F17" s="9">
        <f t="shared" si="9"/>
        <v>5670</v>
      </c>
      <c r="G17" s="9">
        <f t="shared" si="10"/>
        <v>6405</v>
      </c>
      <c r="H17" s="9">
        <f t="shared" si="11"/>
        <v>10185</v>
      </c>
    </row>
    <row r="18" spans="1:8" ht="14.25" customHeight="1" x14ac:dyDescent="0.25">
      <c r="A18" s="2" t="s">
        <v>169</v>
      </c>
      <c r="B18" s="12">
        <v>2025</v>
      </c>
      <c r="C18" s="2" t="s">
        <v>38</v>
      </c>
      <c r="D18" s="2" t="s">
        <v>39</v>
      </c>
      <c r="E18" s="9">
        <f t="shared" si="8"/>
        <v>4725</v>
      </c>
      <c r="F18" s="9">
        <f t="shared" si="9"/>
        <v>5670</v>
      </c>
      <c r="G18" s="9">
        <f t="shared" si="10"/>
        <v>6405</v>
      </c>
      <c r="H18" s="9">
        <f t="shared" si="11"/>
        <v>10185</v>
      </c>
    </row>
    <row r="19" spans="1:8" ht="14.25" customHeight="1" x14ac:dyDescent="0.25">
      <c r="A19" s="2" t="s">
        <v>169</v>
      </c>
      <c r="B19" s="12">
        <v>2025</v>
      </c>
      <c r="C19" s="2" t="s">
        <v>40</v>
      </c>
      <c r="D19" s="2" t="s">
        <v>41</v>
      </c>
      <c r="E19" s="9">
        <f t="shared" si="8"/>
        <v>4725</v>
      </c>
      <c r="F19" s="9">
        <f t="shared" si="9"/>
        <v>5670</v>
      </c>
      <c r="G19" s="9">
        <f t="shared" si="10"/>
        <v>6405</v>
      </c>
      <c r="H19" s="9">
        <f t="shared" si="11"/>
        <v>10185</v>
      </c>
    </row>
    <row r="20" spans="1:8" ht="14.25" customHeight="1" x14ac:dyDescent="0.25">
      <c r="A20" s="2" t="s">
        <v>170</v>
      </c>
      <c r="B20" s="12">
        <v>2025</v>
      </c>
      <c r="C20" s="2" t="s">
        <v>42</v>
      </c>
      <c r="D20" s="2" t="s">
        <v>43</v>
      </c>
      <c r="E20" s="9">
        <f>4900*1.05</f>
        <v>5145</v>
      </c>
      <c r="F20" s="9">
        <f>5700*1.05</f>
        <v>5985</v>
      </c>
      <c r="G20" s="9">
        <f>6400*1.05</f>
        <v>6720</v>
      </c>
      <c r="H20" s="9">
        <f>10400*1.05</f>
        <v>10920</v>
      </c>
    </row>
    <row r="21" spans="1:8" ht="14.25" customHeight="1" x14ac:dyDescent="0.25">
      <c r="A21" s="2" t="s">
        <v>170</v>
      </c>
      <c r="B21" s="12">
        <v>2025</v>
      </c>
      <c r="C21" s="2" t="s">
        <v>44</v>
      </c>
      <c r="D21" s="2" t="s">
        <v>45</v>
      </c>
      <c r="E21" s="9">
        <f t="shared" ref="E21:E29" si="12">4900*1.05</f>
        <v>5145</v>
      </c>
      <c r="F21" s="9">
        <f t="shared" ref="F21:F23" si="13">5700*1.05</f>
        <v>5985</v>
      </c>
      <c r="G21" s="9">
        <f t="shared" ref="G21:G23" si="14">6400*1.05</f>
        <v>6720</v>
      </c>
      <c r="H21" s="9">
        <f t="shared" ref="H21:H23" si="15">10400*1.05</f>
        <v>10920</v>
      </c>
    </row>
    <row r="22" spans="1:8" ht="14.25" customHeight="1" x14ac:dyDescent="0.25">
      <c r="A22" s="2" t="s">
        <v>170</v>
      </c>
      <c r="B22" s="12">
        <v>2025</v>
      </c>
      <c r="C22" s="2" t="s">
        <v>46</v>
      </c>
      <c r="D22" s="2" t="s">
        <v>47</v>
      </c>
      <c r="E22" s="9">
        <f t="shared" si="12"/>
        <v>5145</v>
      </c>
      <c r="F22" s="9">
        <f t="shared" si="13"/>
        <v>5985</v>
      </c>
      <c r="G22" s="9">
        <f t="shared" si="14"/>
        <v>6720</v>
      </c>
      <c r="H22" s="9">
        <f t="shared" si="15"/>
        <v>10920</v>
      </c>
    </row>
    <row r="23" spans="1:8" ht="14.25" customHeight="1" x14ac:dyDescent="0.25">
      <c r="A23" s="2" t="s">
        <v>170</v>
      </c>
      <c r="B23" s="12">
        <v>2025</v>
      </c>
      <c r="C23" s="2" t="s">
        <v>48</v>
      </c>
      <c r="D23" s="2" t="s">
        <v>49</v>
      </c>
      <c r="E23" s="9">
        <f t="shared" si="12"/>
        <v>5145</v>
      </c>
      <c r="F23" s="9">
        <f t="shared" si="13"/>
        <v>5985</v>
      </c>
      <c r="G23" s="9">
        <f t="shared" si="14"/>
        <v>6720</v>
      </c>
      <c r="H23" s="9">
        <f t="shared" si="15"/>
        <v>10920</v>
      </c>
    </row>
    <row r="24" spans="1:8" ht="14.25" customHeight="1" x14ac:dyDescent="0.25">
      <c r="A24" s="2" t="s">
        <v>174</v>
      </c>
      <c r="B24" s="12">
        <v>2025</v>
      </c>
      <c r="C24" s="2" t="s">
        <v>50</v>
      </c>
      <c r="D24" s="2" t="s">
        <v>51</v>
      </c>
      <c r="E24" s="9">
        <f t="shared" si="12"/>
        <v>5145</v>
      </c>
      <c r="F24" s="9">
        <f>5900*1.05</f>
        <v>6195</v>
      </c>
      <c r="G24" s="9">
        <f>6600*1.05</f>
        <v>6930</v>
      </c>
      <c r="H24" s="9">
        <f>10700*1.05</f>
        <v>11235</v>
      </c>
    </row>
    <row r="25" spans="1:8" ht="14.25" customHeight="1" x14ac:dyDescent="0.25">
      <c r="A25" s="2" t="s">
        <v>174</v>
      </c>
      <c r="B25" s="12">
        <v>2025</v>
      </c>
      <c r="C25" s="2" t="s">
        <v>52</v>
      </c>
      <c r="D25" s="2" t="s">
        <v>53</v>
      </c>
      <c r="E25" s="9">
        <f t="shared" si="12"/>
        <v>5145</v>
      </c>
      <c r="F25" s="9">
        <f t="shared" ref="F25:F29" si="16">5900*1.05</f>
        <v>6195</v>
      </c>
      <c r="G25" s="9">
        <f t="shared" ref="G25:G29" si="17">6600*1.05</f>
        <v>6930</v>
      </c>
      <c r="H25" s="9">
        <f t="shared" ref="H25:H29" si="18">10700*1.05</f>
        <v>11235</v>
      </c>
    </row>
    <row r="26" spans="1:8" ht="14.25" customHeight="1" x14ac:dyDescent="0.25">
      <c r="A26" s="2" t="s">
        <v>174</v>
      </c>
      <c r="B26" s="12">
        <v>2025</v>
      </c>
      <c r="C26" s="2" t="s">
        <v>54</v>
      </c>
      <c r="D26" s="2" t="s">
        <v>55</v>
      </c>
      <c r="E26" s="9">
        <f t="shared" si="12"/>
        <v>5145</v>
      </c>
      <c r="F26" s="9">
        <f t="shared" si="16"/>
        <v>6195</v>
      </c>
      <c r="G26" s="9">
        <f t="shared" si="17"/>
        <v>6930</v>
      </c>
      <c r="H26" s="9">
        <f t="shared" si="18"/>
        <v>11235</v>
      </c>
    </row>
    <row r="27" spans="1:8" ht="14.25" customHeight="1" x14ac:dyDescent="0.25">
      <c r="A27" s="2" t="s">
        <v>174</v>
      </c>
      <c r="B27" s="12">
        <v>2025</v>
      </c>
      <c r="C27" s="2" t="s">
        <v>56</v>
      </c>
      <c r="D27" s="2" t="s">
        <v>57</v>
      </c>
      <c r="E27" s="9">
        <f t="shared" si="12"/>
        <v>5145</v>
      </c>
      <c r="F27" s="9">
        <f t="shared" si="16"/>
        <v>6195</v>
      </c>
      <c r="G27" s="9">
        <f t="shared" si="17"/>
        <v>6930</v>
      </c>
      <c r="H27" s="9">
        <f t="shared" si="18"/>
        <v>11235</v>
      </c>
    </row>
    <row r="28" spans="1:8" ht="14.25" customHeight="1" x14ac:dyDescent="0.25">
      <c r="A28" s="2" t="s">
        <v>174</v>
      </c>
      <c r="B28" s="12">
        <v>2025</v>
      </c>
      <c r="C28" s="2" t="s">
        <v>58</v>
      </c>
      <c r="D28" s="2" t="s">
        <v>59</v>
      </c>
      <c r="E28" s="9">
        <f t="shared" si="12"/>
        <v>5145</v>
      </c>
      <c r="F28" s="9">
        <f t="shared" si="16"/>
        <v>6195</v>
      </c>
      <c r="G28" s="9">
        <f t="shared" si="17"/>
        <v>6930</v>
      </c>
      <c r="H28" s="9">
        <f t="shared" si="18"/>
        <v>11235</v>
      </c>
    </row>
    <row r="29" spans="1:8" ht="14.25" customHeight="1" x14ac:dyDescent="0.25">
      <c r="A29" s="2" t="s">
        <v>174</v>
      </c>
      <c r="B29" s="12">
        <v>2025</v>
      </c>
      <c r="C29" s="2" t="s">
        <v>60</v>
      </c>
      <c r="D29" s="2" t="s">
        <v>61</v>
      </c>
      <c r="E29" s="9">
        <f t="shared" si="12"/>
        <v>5145</v>
      </c>
      <c r="F29" s="9">
        <f t="shared" si="16"/>
        <v>6195</v>
      </c>
      <c r="G29" s="9">
        <f t="shared" si="17"/>
        <v>6930</v>
      </c>
      <c r="H29" s="9">
        <f t="shared" si="18"/>
        <v>11235</v>
      </c>
    </row>
    <row r="30" spans="1:8" ht="14.25" customHeight="1" x14ac:dyDescent="0.25">
      <c r="A30" s="2" t="s">
        <v>175</v>
      </c>
      <c r="B30" s="12">
        <v>2025</v>
      </c>
      <c r="C30" s="2" t="s">
        <v>62</v>
      </c>
      <c r="D30" s="2" t="s">
        <v>63</v>
      </c>
      <c r="E30" s="9">
        <f>3700*1.05</f>
        <v>3885</v>
      </c>
      <c r="F30" s="9">
        <f>4500*1.05</f>
        <v>4725</v>
      </c>
      <c r="G30" s="9">
        <f>5400*1.05</f>
        <v>5670</v>
      </c>
      <c r="H30" s="9">
        <f>8500*1.05</f>
        <v>8925</v>
      </c>
    </row>
    <row r="31" spans="1:8" ht="14.25" customHeight="1" x14ac:dyDescent="0.25">
      <c r="A31" s="2" t="s">
        <v>175</v>
      </c>
      <c r="B31" s="12">
        <v>2025</v>
      </c>
      <c r="C31" s="2" t="s">
        <v>64</v>
      </c>
      <c r="D31" s="2" t="s">
        <v>65</v>
      </c>
      <c r="E31" s="9">
        <f t="shared" ref="E31:E38" si="19">3700*1.05</f>
        <v>3885</v>
      </c>
      <c r="F31" s="9">
        <f t="shared" ref="F31:F38" si="20">4500*1.05</f>
        <v>4725</v>
      </c>
      <c r="G31" s="9">
        <f t="shared" ref="G31:G38" si="21">5400*1.05</f>
        <v>5670</v>
      </c>
      <c r="H31" s="9">
        <f t="shared" ref="H31:H38" si="22">8500*1.05</f>
        <v>8925</v>
      </c>
    </row>
    <row r="32" spans="1:8" ht="14.25" customHeight="1" x14ac:dyDescent="0.25">
      <c r="A32" s="2" t="s">
        <v>176</v>
      </c>
      <c r="B32" s="12">
        <v>2025</v>
      </c>
      <c r="C32" s="2" t="s">
        <v>66</v>
      </c>
      <c r="D32" s="2" t="s">
        <v>67</v>
      </c>
      <c r="E32" s="9">
        <f t="shared" si="19"/>
        <v>3885</v>
      </c>
      <c r="F32" s="9">
        <f t="shared" si="20"/>
        <v>4725</v>
      </c>
      <c r="G32" s="9">
        <f t="shared" si="21"/>
        <v>5670</v>
      </c>
      <c r="H32" s="9">
        <f t="shared" si="22"/>
        <v>8925</v>
      </c>
    </row>
    <row r="33" spans="1:8" ht="14.25" customHeight="1" x14ac:dyDescent="0.25">
      <c r="A33" s="2" t="s">
        <v>176</v>
      </c>
      <c r="B33" s="12">
        <v>2025</v>
      </c>
      <c r="C33" s="2" t="s">
        <v>68</v>
      </c>
      <c r="D33" s="2" t="s">
        <v>69</v>
      </c>
      <c r="E33" s="9">
        <f t="shared" si="19"/>
        <v>3885</v>
      </c>
      <c r="F33" s="9">
        <f t="shared" si="20"/>
        <v>4725</v>
      </c>
      <c r="G33" s="9">
        <f t="shared" si="21"/>
        <v>5670</v>
      </c>
      <c r="H33" s="9">
        <f t="shared" si="22"/>
        <v>8925</v>
      </c>
    </row>
    <row r="34" spans="1:8" ht="14.25" customHeight="1" x14ac:dyDescent="0.25">
      <c r="A34" s="2" t="s">
        <v>177</v>
      </c>
      <c r="B34" s="12">
        <v>2026</v>
      </c>
      <c r="C34" s="2" t="s">
        <v>68</v>
      </c>
      <c r="D34" s="2" t="s">
        <v>69</v>
      </c>
      <c r="E34" s="9">
        <f t="shared" si="19"/>
        <v>3885</v>
      </c>
      <c r="F34" s="9">
        <f t="shared" si="20"/>
        <v>4725</v>
      </c>
      <c r="G34" s="9">
        <f t="shared" si="21"/>
        <v>5670</v>
      </c>
      <c r="H34" s="9">
        <f t="shared" si="22"/>
        <v>8925</v>
      </c>
    </row>
    <row r="35" spans="1:8" ht="14.25" customHeight="1" x14ac:dyDescent="0.25">
      <c r="A35" s="2" t="s">
        <v>177</v>
      </c>
      <c r="B35" s="12">
        <v>2026</v>
      </c>
      <c r="C35" s="2" t="s">
        <v>66</v>
      </c>
      <c r="D35" s="2" t="s">
        <v>67</v>
      </c>
      <c r="E35" s="9">
        <f t="shared" si="19"/>
        <v>3885</v>
      </c>
      <c r="F35" s="9">
        <f t="shared" si="20"/>
        <v>4725</v>
      </c>
      <c r="G35" s="9">
        <f t="shared" si="21"/>
        <v>5670</v>
      </c>
      <c r="H35" s="9">
        <f t="shared" si="22"/>
        <v>8925</v>
      </c>
    </row>
    <row r="36" spans="1:8" ht="14.25" customHeight="1" x14ac:dyDescent="0.25">
      <c r="A36" s="2" t="s">
        <v>175</v>
      </c>
      <c r="B36" s="12">
        <v>2026</v>
      </c>
      <c r="C36" s="2" t="s">
        <v>70</v>
      </c>
      <c r="D36" s="2" t="s">
        <v>71</v>
      </c>
      <c r="E36" s="9">
        <f t="shared" si="19"/>
        <v>3885</v>
      </c>
      <c r="F36" s="9">
        <f t="shared" si="20"/>
        <v>4725</v>
      </c>
      <c r="G36" s="9">
        <f t="shared" si="21"/>
        <v>5670</v>
      </c>
      <c r="H36" s="9">
        <f t="shared" si="22"/>
        <v>8925</v>
      </c>
    </row>
    <row r="37" spans="1:8" ht="14.25" customHeight="1" x14ac:dyDescent="0.25">
      <c r="A37" s="2" t="s">
        <v>175</v>
      </c>
      <c r="B37" s="12">
        <v>2026</v>
      </c>
      <c r="C37" s="2" t="s">
        <v>72</v>
      </c>
      <c r="D37" s="2" t="s">
        <v>73</v>
      </c>
      <c r="E37" s="9">
        <f t="shared" si="19"/>
        <v>3885</v>
      </c>
      <c r="F37" s="9">
        <f t="shared" si="20"/>
        <v>4725</v>
      </c>
      <c r="G37" s="9">
        <f t="shared" si="21"/>
        <v>5670</v>
      </c>
      <c r="H37" s="9">
        <f t="shared" si="22"/>
        <v>8925</v>
      </c>
    </row>
    <row r="38" spans="1:8" ht="14.25" customHeight="1" x14ac:dyDescent="0.25">
      <c r="A38" s="2" t="s">
        <v>175</v>
      </c>
      <c r="B38" s="12">
        <v>2026</v>
      </c>
      <c r="C38" s="2" t="s">
        <v>74</v>
      </c>
      <c r="D38" s="2" t="s">
        <v>75</v>
      </c>
      <c r="E38" s="9">
        <f t="shared" si="19"/>
        <v>3885</v>
      </c>
      <c r="F38" s="9">
        <f t="shared" si="20"/>
        <v>4725</v>
      </c>
      <c r="G38" s="9">
        <f t="shared" si="21"/>
        <v>5670</v>
      </c>
      <c r="H38" s="9">
        <f t="shared" si="22"/>
        <v>8925</v>
      </c>
    </row>
    <row r="39" spans="1:8" ht="14.25" customHeight="1" x14ac:dyDescent="0.25">
      <c r="A39" s="2" t="s">
        <v>178</v>
      </c>
      <c r="B39" s="12">
        <v>2026</v>
      </c>
      <c r="C39" s="2" t="s">
        <v>76</v>
      </c>
      <c r="D39" s="2" t="s">
        <v>77</v>
      </c>
      <c r="E39" s="9">
        <f>5000*1.05</f>
        <v>5250</v>
      </c>
      <c r="F39" s="9">
        <f>6000*1.05</f>
        <v>6300</v>
      </c>
      <c r="G39" s="9">
        <f>6600*1.05</f>
        <v>6930</v>
      </c>
      <c r="H39" s="9">
        <f>10800*1.05</f>
        <v>11340</v>
      </c>
    </row>
    <row r="40" spans="1:8" ht="14.25" customHeight="1" x14ac:dyDescent="0.25">
      <c r="A40" s="2" t="s">
        <v>178</v>
      </c>
      <c r="B40" s="12">
        <v>2026</v>
      </c>
      <c r="C40" s="2" t="s">
        <v>78</v>
      </c>
      <c r="D40" s="2" t="s">
        <v>79</v>
      </c>
      <c r="E40" s="9">
        <f t="shared" ref="E40:E44" si="23">5000*1.05</f>
        <v>5250</v>
      </c>
      <c r="F40" s="9">
        <f t="shared" ref="F40:F44" si="24">6000*1.05</f>
        <v>6300</v>
      </c>
      <c r="G40" s="9">
        <f t="shared" ref="G40:G44" si="25">6600*1.05</f>
        <v>6930</v>
      </c>
      <c r="H40" s="9">
        <f t="shared" ref="H40:H44" si="26">10800*1.05</f>
        <v>11340</v>
      </c>
    </row>
    <row r="41" spans="1:8" ht="14.25" customHeight="1" x14ac:dyDescent="0.25">
      <c r="A41" s="2" t="s">
        <v>178</v>
      </c>
      <c r="B41" s="12">
        <v>2026</v>
      </c>
      <c r="C41" s="2" t="s">
        <v>80</v>
      </c>
      <c r="D41" s="2" t="s">
        <v>81</v>
      </c>
      <c r="E41" s="9">
        <f t="shared" si="23"/>
        <v>5250</v>
      </c>
      <c r="F41" s="9">
        <f t="shared" si="24"/>
        <v>6300</v>
      </c>
      <c r="G41" s="9">
        <f t="shared" si="25"/>
        <v>6930</v>
      </c>
      <c r="H41" s="9">
        <f t="shared" si="26"/>
        <v>11340</v>
      </c>
    </row>
    <row r="42" spans="1:8" ht="14.25" customHeight="1" x14ac:dyDescent="0.25">
      <c r="A42" s="2" t="s">
        <v>178</v>
      </c>
      <c r="B42" s="12">
        <v>2026</v>
      </c>
      <c r="C42" s="2" t="s">
        <v>82</v>
      </c>
      <c r="D42" s="2" t="s">
        <v>83</v>
      </c>
      <c r="E42" s="9">
        <f t="shared" si="23"/>
        <v>5250</v>
      </c>
      <c r="F42" s="9">
        <f t="shared" si="24"/>
        <v>6300</v>
      </c>
      <c r="G42" s="9">
        <f t="shared" si="25"/>
        <v>6930</v>
      </c>
      <c r="H42" s="9">
        <f t="shared" si="26"/>
        <v>11340</v>
      </c>
    </row>
    <row r="43" spans="1:8" ht="14.25" customHeight="1" x14ac:dyDescent="0.25">
      <c r="A43" s="2" t="s">
        <v>178</v>
      </c>
      <c r="B43" s="12">
        <v>2026</v>
      </c>
      <c r="C43" s="2" t="s">
        <v>84</v>
      </c>
      <c r="D43" s="2" t="s">
        <v>85</v>
      </c>
      <c r="E43" s="9">
        <f t="shared" si="23"/>
        <v>5250</v>
      </c>
      <c r="F43" s="9">
        <f t="shared" si="24"/>
        <v>6300</v>
      </c>
      <c r="G43" s="9">
        <f t="shared" si="25"/>
        <v>6930</v>
      </c>
      <c r="H43" s="9">
        <f t="shared" si="26"/>
        <v>11340</v>
      </c>
    </row>
    <row r="44" spans="1:8" ht="14.25" customHeight="1" x14ac:dyDescent="0.25">
      <c r="A44" s="2" t="s">
        <v>178</v>
      </c>
      <c r="B44" s="12">
        <v>2026</v>
      </c>
      <c r="C44" s="2" t="s">
        <v>86</v>
      </c>
      <c r="D44" s="2" t="s">
        <v>87</v>
      </c>
      <c r="E44" s="9">
        <f t="shared" si="23"/>
        <v>5250</v>
      </c>
      <c r="F44" s="9">
        <f t="shared" si="24"/>
        <v>6300</v>
      </c>
      <c r="G44" s="9">
        <f t="shared" si="25"/>
        <v>6930</v>
      </c>
      <c r="H44" s="9">
        <f t="shared" si="26"/>
        <v>11340</v>
      </c>
    </row>
    <row r="45" spans="1:8" ht="14.25" customHeight="1" x14ac:dyDescent="0.25">
      <c r="A45" s="2" t="s">
        <v>168</v>
      </c>
      <c r="B45" s="12">
        <v>2026</v>
      </c>
      <c r="C45" s="2" t="s">
        <v>12</v>
      </c>
      <c r="D45" s="2" t="s">
        <v>88</v>
      </c>
      <c r="E45" s="9">
        <f>4900*1.05</f>
        <v>5145</v>
      </c>
      <c r="F45" s="9">
        <f>5200*1.05</f>
        <v>5460</v>
      </c>
      <c r="G45" s="9">
        <f>5900*1.05</f>
        <v>6195</v>
      </c>
      <c r="H45" s="9">
        <f>9300*1.05</f>
        <v>9765</v>
      </c>
    </row>
    <row r="46" spans="1:8" ht="14.25" customHeight="1" x14ac:dyDescent="0.25">
      <c r="A46" s="2" t="s">
        <v>168</v>
      </c>
      <c r="B46" s="12">
        <v>2026</v>
      </c>
      <c r="C46" s="2" t="s">
        <v>7</v>
      </c>
      <c r="D46" s="2" t="s">
        <v>3</v>
      </c>
      <c r="E46" s="9">
        <f t="shared" ref="E46:E51" si="27">4900*1.05</f>
        <v>5145</v>
      </c>
      <c r="F46" s="9">
        <f t="shared" ref="F46:F51" si="28">5200*1.05</f>
        <v>5460</v>
      </c>
      <c r="G46" s="9">
        <f t="shared" ref="G46:G51" si="29">5900*1.05</f>
        <v>6195</v>
      </c>
      <c r="H46" s="9">
        <f t="shared" ref="H46:H51" si="30">9300*1.05</f>
        <v>9765</v>
      </c>
    </row>
    <row r="47" spans="1:8" ht="14.25" customHeight="1" x14ac:dyDescent="0.25">
      <c r="A47" s="2" t="s">
        <v>168</v>
      </c>
      <c r="B47" s="12">
        <v>2026</v>
      </c>
      <c r="C47" s="2" t="s">
        <v>8</v>
      </c>
      <c r="D47" s="2" t="s">
        <v>89</v>
      </c>
      <c r="E47" s="9">
        <f t="shared" si="27"/>
        <v>5145</v>
      </c>
      <c r="F47" s="9">
        <f t="shared" si="28"/>
        <v>5460</v>
      </c>
      <c r="G47" s="9">
        <f t="shared" si="29"/>
        <v>6195</v>
      </c>
      <c r="H47" s="9">
        <f t="shared" si="30"/>
        <v>9765</v>
      </c>
    </row>
    <row r="48" spans="1:8" ht="14.25" customHeight="1" x14ac:dyDescent="0.25">
      <c r="A48" s="2" t="s">
        <v>168</v>
      </c>
      <c r="B48" s="12">
        <v>2026</v>
      </c>
      <c r="C48" s="2" t="s">
        <v>10</v>
      </c>
      <c r="D48" s="2" t="s">
        <v>90</v>
      </c>
      <c r="E48" s="9">
        <f t="shared" si="27"/>
        <v>5145</v>
      </c>
      <c r="F48" s="9">
        <f t="shared" si="28"/>
        <v>5460</v>
      </c>
      <c r="G48" s="9">
        <f t="shared" si="29"/>
        <v>6195</v>
      </c>
      <c r="H48" s="9">
        <f t="shared" si="30"/>
        <v>9765</v>
      </c>
    </row>
    <row r="49" spans="1:8" ht="14.25" customHeight="1" x14ac:dyDescent="0.25">
      <c r="A49" s="2" t="s">
        <v>168</v>
      </c>
      <c r="B49" s="12">
        <v>2026</v>
      </c>
      <c r="C49" s="2" t="s">
        <v>16</v>
      </c>
      <c r="D49" s="2" t="s">
        <v>91</v>
      </c>
      <c r="E49" s="9">
        <f t="shared" si="27"/>
        <v>5145</v>
      </c>
      <c r="F49" s="9">
        <f t="shared" si="28"/>
        <v>5460</v>
      </c>
      <c r="G49" s="9">
        <f t="shared" si="29"/>
        <v>6195</v>
      </c>
      <c r="H49" s="9">
        <f t="shared" si="30"/>
        <v>9765</v>
      </c>
    </row>
    <row r="50" spans="1:8" ht="14.25" customHeight="1" x14ac:dyDescent="0.25">
      <c r="A50" s="2" t="s">
        <v>168</v>
      </c>
      <c r="B50" s="12">
        <v>2026</v>
      </c>
      <c r="C50" s="2" t="s">
        <v>14</v>
      </c>
      <c r="D50" s="2" t="s">
        <v>92</v>
      </c>
      <c r="E50" s="9">
        <f t="shared" si="27"/>
        <v>5145</v>
      </c>
      <c r="F50" s="9">
        <f t="shared" si="28"/>
        <v>5460</v>
      </c>
      <c r="G50" s="9">
        <f t="shared" si="29"/>
        <v>6195</v>
      </c>
      <c r="H50" s="9">
        <f t="shared" si="30"/>
        <v>9765</v>
      </c>
    </row>
    <row r="51" spans="1:8" ht="14.25" customHeight="1" x14ac:dyDescent="0.25">
      <c r="A51" s="2" t="s">
        <v>168</v>
      </c>
      <c r="B51" s="12">
        <v>2026</v>
      </c>
      <c r="C51" s="2" t="s">
        <v>93</v>
      </c>
      <c r="D51" s="2" t="s">
        <v>94</v>
      </c>
      <c r="E51" s="9">
        <f t="shared" si="27"/>
        <v>5145</v>
      </c>
      <c r="F51" s="9">
        <f t="shared" si="28"/>
        <v>5460</v>
      </c>
      <c r="G51" s="9">
        <f t="shared" si="29"/>
        <v>6195</v>
      </c>
      <c r="H51" s="9">
        <f t="shared" si="30"/>
        <v>9765</v>
      </c>
    </row>
    <row r="52" spans="1:8" ht="14.25" customHeight="1" x14ac:dyDescent="0.25">
      <c r="A52" s="2" t="s">
        <v>173</v>
      </c>
      <c r="B52" s="12">
        <v>2026</v>
      </c>
      <c r="C52" s="2" t="s">
        <v>95</v>
      </c>
      <c r="D52" s="2" t="s">
        <v>96</v>
      </c>
      <c r="E52" s="9">
        <v>5250</v>
      </c>
      <c r="F52" s="9">
        <v>6300</v>
      </c>
      <c r="G52" s="9">
        <f>6700*1.05</f>
        <v>7035</v>
      </c>
      <c r="H52" s="9">
        <f>11000*1.05</f>
        <v>11550</v>
      </c>
    </row>
    <row r="53" spans="1:8" ht="14.25" customHeight="1" x14ac:dyDescent="0.25">
      <c r="A53" s="2" t="s">
        <v>173</v>
      </c>
      <c r="B53" s="12">
        <v>2026</v>
      </c>
      <c r="C53" s="2" t="s">
        <v>97</v>
      </c>
      <c r="D53" s="2" t="s">
        <v>98</v>
      </c>
      <c r="E53" s="9">
        <v>5250</v>
      </c>
      <c r="F53" s="9">
        <v>6300</v>
      </c>
      <c r="G53" s="9">
        <f t="shared" ref="G53:G65" si="31">6700*1.05</f>
        <v>7035</v>
      </c>
      <c r="H53" s="9">
        <f t="shared" ref="H53:H65" si="32">11000*1.05</f>
        <v>11550</v>
      </c>
    </row>
    <row r="54" spans="1:8" ht="14.25" customHeight="1" x14ac:dyDescent="0.25">
      <c r="A54" s="2" t="s">
        <v>173</v>
      </c>
      <c r="B54" s="12">
        <v>2026</v>
      </c>
      <c r="C54" s="2" t="s">
        <v>99</v>
      </c>
      <c r="D54" s="2" t="s">
        <v>100</v>
      </c>
      <c r="E54" s="9">
        <v>5250</v>
      </c>
      <c r="F54" s="9">
        <v>6300</v>
      </c>
      <c r="G54" s="9">
        <f t="shared" si="31"/>
        <v>7035</v>
      </c>
      <c r="H54" s="9">
        <f t="shared" si="32"/>
        <v>11550</v>
      </c>
    </row>
    <row r="55" spans="1:8" ht="14.25" customHeight="1" x14ac:dyDescent="0.25">
      <c r="A55" s="2" t="s">
        <v>173</v>
      </c>
      <c r="B55" s="12">
        <v>2026</v>
      </c>
      <c r="C55" s="2" t="s">
        <v>101</v>
      </c>
      <c r="D55" s="2" t="s">
        <v>102</v>
      </c>
      <c r="E55" s="9">
        <v>5250</v>
      </c>
      <c r="F55" s="9">
        <v>6300</v>
      </c>
      <c r="G55" s="9">
        <f t="shared" si="31"/>
        <v>7035</v>
      </c>
      <c r="H55" s="9">
        <f t="shared" si="32"/>
        <v>11550</v>
      </c>
    </row>
    <row r="56" spans="1:8" ht="14.25" customHeight="1" x14ac:dyDescent="0.25">
      <c r="A56" s="2" t="s">
        <v>173</v>
      </c>
      <c r="B56" s="12">
        <v>2026</v>
      </c>
      <c r="C56" s="2" t="s">
        <v>103</v>
      </c>
      <c r="D56" s="2" t="s">
        <v>104</v>
      </c>
      <c r="E56" s="9">
        <v>5250</v>
      </c>
      <c r="F56" s="9">
        <v>6300</v>
      </c>
      <c r="G56" s="9">
        <f t="shared" si="31"/>
        <v>7035</v>
      </c>
      <c r="H56" s="9">
        <f t="shared" si="32"/>
        <v>11550</v>
      </c>
    </row>
    <row r="57" spans="1:8" ht="14.25" customHeight="1" x14ac:dyDescent="0.25">
      <c r="A57" s="2" t="s">
        <v>173</v>
      </c>
      <c r="B57" s="12">
        <v>2026</v>
      </c>
      <c r="C57" s="2" t="s">
        <v>105</v>
      </c>
      <c r="D57" s="2" t="s">
        <v>106</v>
      </c>
      <c r="E57" s="9">
        <v>5250</v>
      </c>
      <c r="F57" s="9">
        <v>6300</v>
      </c>
      <c r="G57" s="9">
        <f t="shared" si="31"/>
        <v>7035</v>
      </c>
      <c r="H57" s="9">
        <f t="shared" si="32"/>
        <v>11550</v>
      </c>
    </row>
    <row r="58" spans="1:8" ht="14.25" customHeight="1" x14ac:dyDescent="0.25">
      <c r="A58" s="2" t="s">
        <v>173</v>
      </c>
      <c r="B58" s="12">
        <v>2026</v>
      </c>
      <c r="C58" s="2" t="s">
        <v>107</v>
      </c>
      <c r="D58" s="2" t="s">
        <v>108</v>
      </c>
      <c r="E58" s="9">
        <v>5250</v>
      </c>
      <c r="F58" s="9">
        <v>6300</v>
      </c>
      <c r="G58" s="9">
        <f t="shared" si="31"/>
        <v>7035</v>
      </c>
      <c r="H58" s="9">
        <f t="shared" si="32"/>
        <v>11550</v>
      </c>
    </row>
    <row r="59" spans="1:8" ht="14.25" customHeight="1" x14ac:dyDescent="0.25">
      <c r="A59" s="2" t="s">
        <v>173</v>
      </c>
      <c r="B59" s="12">
        <v>2026</v>
      </c>
      <c r="C59" s="2" t="s">
        <v>109</v>
      </c>
      <c r="D59" s="2" t="s">
        <v>110</v>
      </c>
      <c r="E59" s="9">
        <v>5250</v>
      </c>
      <c r="F59" s="9">
        <v>6300</v>
      </c>
      <c r="G59" s="9">
        <f t="shared" si="31"/>
        <v>7035</v>
      </c>
      <c r="H59" s="9">
        <f t="shared" si="32"/>
        <v>11550</v>
      </c>
    </row>
    <row r="60" spans="1:8" ht="14.25" customHeight="1" x14ac:dyDescent="0.25">
      <c r="A60" s="2" t="s">
        <v>173</v>
      </c>
      <c r="B60" s="12">
        <v>2026</v>
      </c>
      <c r="C60" s="2" t="s">
        <v>24</v>
      </c>
      <c r="D60" s="2" t="s">
        <v>111</v>
      </c>
      <c r="E60" s="9">
        <v>5250</v>
      </c>
      <c r="F60" s="9">
        <v>6300</v>
      </c>
      <c r="G60" s="9">
        <f t="shared" si="31"/>
        <v>7035</v>
      </c>
      <c r="H60" s="9">
        <f t="shared" si="32"/>
        <v>11550</v>
      </c>
    </row>
    <row r="61" spans="1:8" ht="14.25" customHeight="1" x14ac:dyDescent="0.25">
      <c r="A61" s="2" t="s">
        <v>173</v>
      </c>
      <c r="B61" s="12">
        <v>2026</v>
      </c>
      <c r="C61" s="2" t="s">
        <v>28</v>
      </c>
      <c r="D61" s="2" t="s">
        <v>112</v>
      </c>
      <c r="E61" s="9">
        <v>5250</v>
      </c>
      <c r="F61" s="9">
        <v>6300</v>
      </c>
      <c r="G61" s="9">
        <f t="shared" si="31"/>
        <v>7035</v>
      </c>
      <c r="H61" s="9">
        <f t="shared" si="32"/>
        <v>11550</v>
      </c>
    </row>
    <row r="62" spans="1:8" ht="14.25" customHeight="1" x14ac:dyDescent="0.25">
      <c r="A62" s="2" t="s">
        <v>173</v>
      </c>
      <c r="B62" s="12">
        <v>2026</v>
      </c>
      <c r="C62" s="2" t="s">
        <v>113</v>
      </c>
      <c r="D62" s="2" t="s">
        <v>114</v>
      </c>
      <c r="E62" s="9">
        <v>5250</v>
      </c>
      <c r="F62" s="9">
        <v>6300</v>
      </c>
      <c r="G62" s="9">
        <f t="shared" si="31"/>
        <v>7035</v>
      </c>
      <c r="H62" s="9">
        <f t="shared" si="32"/>
        <v>11550</v>
      </c>
    </row>
    <row r="63" spans="1:8" ht="14.25" customHeight="1" x14ac:dyDescent="0.25">
      <c r="A63" s="2" t="s">
        <v>173</v>
      </c>
      <c r="B63" s="12">
        <v>2026</v>
      </c>
      <c r="C63" s="2" t="s">
        <v>115</v>
      </c>
      <c r="D63" s="2" t="s">
        <v>116</v>
      </c>
      <c r="E63" s="9">
        <v>5250</v>
      </c>
      <c r="F63" s="9">
        <v>6300</v>
      </c>
      <c r="G63" s="9">
        <f t="shared" si="31"/>
        <v>7035</v>
      </c>
      <c r="H63" s="9">
        <f t="shared" si="32"/>
        <v>11550</v>
      </c>
    </row>
    <row r="64" spans="1:8" ht="14.25" customHeight="1" x14ac:dyDescent="0.25">
      <c r="A64" s="2" t="s">
        <v>173</v>
      </c>
      <c r="B64" s="12">
        <v>2026</v>
      </c>
      <c r="C64" s="2" t="s">
        <v>117</v>
      </c>
      <c r="D64" s="2" t="s">
        <v>118</v>
      </c>
      <c r="E64" s="9">
        <v>5250</v>
      </c>
      <c r="F64" s="9">
        <v>6300</v>
      </c>
      <c r="G64" s="9">
        <f t="shared" si="31"/>
        <v>7035</v>
      </c>
      <c r="H64" s="9">
        <f t="shared" si="32"/>
        <v>11550</v>
      </c>
    </row>
    <row r="65" spans="1:8" ht="14.25" customHeight="1" x14ac:dyDescent="0.25">
      <c r="A65" s="2" t="s">
        <v>173</v>
      </c>
      <c r="B65" s="12">
        <v>2026</v>
      </c>
      <c r="C65" s="2" t="s">
        <v>119</v>
      </c>
      <c r="D65" s="2" t="s">
        <v>120</v>
      </c>
      <c r="E65" s="9">
        <v>5250</v>
      </c>
      <c r="F65" s="9">
        <v>6300</v>
      </c>
      <c r="G65" s="9">
        <f t="shared" si="31"/>
        <v>7035</v>
      </c>
      <c r="H65" s="9">
        <f t="shared" si="32"/>
        <v>11550</v>
      </c>
    </row>
    <row r="66" spans="1:8" ht="14.25" customHeight="1" x14ac:dyDescent="0.25">
      <c r="A66" s="2" t="s">
        <v>169</v>
      </c>
      <c r="B66" s="12">
        <v>2026</v>
      </c>
      <c r="C66" s="2" t="s">
        <v>32</v>
      </c>
      <c r="D66" s="2" t="s">
        <v>33</v>
      </c>
      <c r="E66" s="9">
        <f>4500*1.05</f>
        <v>4725</v>
      </c>
      <c r="F66" s="9">
        <f>5400*1.05</f>
        <v>5670</v>
      </c>
      <c r="G66" s="9">
        <f>6100*1.05</f>
        <v>6405</v>
      </c>
      <c r="H66" s="9">
        <f>9700*1.05</f>
        <v>10185</v>
      </c>
    </row>
    <row r="67" spans="1:8" ht="14.25" customHeight="1" x14ac:dyDescent="0.25">
      <c r="A67" s="2" t="s">
        <v>169</v>
      </c>
      <c r="B67" s="12">
        <v>2026</v>
      </c>
      <c r="C67" s="2" t="s">
        <v>34</v>
      </c>
      <c r="D67" s="2" t="s">
        <v>35</v>
      </c>
      <c r="E67" s="9">
        <f t="shared" ref="E67:E70" si="33">4500*1.05</f>
        <v>4725</v>
      </c>
      <c r="F67" s="9">
        <f t="shared" ref="F67:F70" si="34">5400*1.05</f>
        <v>5670</v>
      </c>
      <c r="G67" s="9">
        <f t="shared" ref="G67:G70" si="35">6100*1.05</f>
        <v>6405</v>
      </c>
      <c r="H67" s="9">
        <f t="shared" ref="H67:H70" si="36">9700*1.05</f>
        <v>10185</v>
      </c>
    </row>
    <row r="68" spans="1:8" ht="14.25" customHeight="1" x14ac:dyDescent="0.25">
      <c r="A68" s="2" t="s">
        <v>169</v>
      </c>
      <c r="B68" s="12">
        <v>2026</v>
      </c>
      <c r="C68" s="2" t="s">
        <v>40</v>
      </c>
      <c r="D68" s="2" t="s">
        <v>41</v>
      </c>
      <c r="E68" s="9">
        <f t="shared" si="33"/>
        <v>4725</v>
      </c>
      <c r="F68" s="9">
        <f t="shared" si="34"/>
        <v>5670</v>
      </c>
      <c r="G68" s="9">
        <f t="shared" si="35"/>
        <v>6405</v>
      </c>
      <c r="H68" s="9">
        <f t="shared" si="36"/>
        <v>10185</v>
      </c>
    </row>
    <row r="69" spans="1:8" ht="14.25" customHeight="1" x14ac:dyDescent="0.25">
      <c r="A69" s="2" t="s">
        <v>169</v>
      </c>
      <c r="B69" s="12">
        <v>2026</v>
      </c>
      <c r="C69" s="2" t="s">
        <v>36</v>
      </c>
      <c r="D69" s="2" t="s">
        <v>37</v>
      </c>
      <c r="E69" s="9">
        <f t="shared" si="33"/>
        <v>4725</v>
      </c>
      <c r="F69" s="9">
        <f t="shared" si="34"/>
        <v>5670</v>
      </c>
      <c r="G69" s="9">
        <f t="shared" si="35"/>
        <v>6405</v>
      </c>
      <c r="H69" s="9">
        <f t="shared" si="36"/>
        <v>10185</v>
      </c>
    </row>
    <row r="70" spans="1:8" ht="14.25" customHeight="1" x14ac:dyDescent="0.25">
      <c r="A70" s="2" t="s">
        <v>169</v>
      </c>
      <c r="B70" s="12">
        <v>2026</v>
      </c>
      <c r="C70" s="2" t="s">
        <v>38</v>
      </c>
      <c r="D70" s="2" t="s">
        <v>39</v>
      </c>
      <c r="E70" s="9">
        <f t="shared" si="33"/>
        <v>4725</v>
      </c>
      <c r="F70" s="9">
        <f t="shared" si="34"/>
        <v>5670</v>
      </c>
      <c r="G70" s="9">
        <f t="shared" si="35"/>
        <v>6405</v>
      </c>
      <c r="H70" s="9">
        <f t="shared" si="36"/>
        <v>10185</v>
      </c>
    </row>
    <row r="71" spans="1:8" ht="14.25" customHeight="1" x14ac:dyDescent="0.25">
      <c r="A71" s="2" t="s">
        <v>170</v>
      </c>
      <c r="B71" s="12">
        <v>2026</v>
      </c>
      <c r="C71" s="2" t="s">
        <v>121</v>
      </c>
      <c r="D71" s="2" t="s">
        <v>122</v>
      </c>
      <c r="E71" s="9">
        <f>4900*1.05</f>
        <v>5145</v>
      </c>
      <c r="F71" s="9">
        <f>5700*1.05</f>
        <v>5985</v>
      </c>
      <c r="G71" s="9">
        <f>6400*1.05</f>
        <v>6720</v>
      </c>
      <c r="H71" s="9">
        <f>10400*1.05</f>
        <v>10920</v>
      </c>
    </row>
    <row r="72" spans="1:8" ht="14.25" customHeight="1" x14ac:dyDescent="0.25">
      <c r="A72" s="2" t="s">
        <v>170</v>
      </c>
      <c r="B72" s="12">
        <v>2026</v>
      </c>
      <c r="C72" s="2" t="s">
        <v>123</v>
      </c>
      <c r="D72" s="2" t="s">
        <v>124</v>
      </c>
      <c r="E72" s="9">
        <f t="shared" ref="E72:E80" si="37">4900*1.05</f>
        <v>5145</v>
      </c>
      <c r="F72" s="9">
        <f t="shared" ref="F72:F74" si="38">5700*1.05</f>
        <v>5985</v>
      </c>
      <c r="G72" s="9">
        <f t="shared" ref="G72:G74" si="39">6400*1.05</f>
        <v>6720</v>
      </c>
      <c r="H72" s="9">
        <f t="shared" ref="H72:H74" si="40">10400*1.05</f>
        <v>10920</v>
      </c>
    </row>
    <row r="73" spans="1:8" ht="14.25" customHeight="1" x14ac:dyDescent="0.25">
      <c r="A73" s="2" t="s">
        <v>170</v>
      </c>
      <c r="B73" s="12">
        <v>2026</v>
      </c>
      <c r="C73" s="2" t="s">
        <v>125</v>
      </c>
      <c r="D73" s="2" t="s">
        <v>126</v>
      </c>
      <c r="E73" s="9">
        <f t="shared" si="37"/>
        <v>5145</v>
      </c>
      <c r="F73" s="9">
        <f t="shared" si="38"/>
        <v>5985</v>
      </c>
      <c r="G73" s="9">
        <f t="shared" si="39"/>
        <v>6720</v>
      </c>
      <c r="H73" s="9">
        <f t="shared" si="40"/>
        <v>10920</v>
      </c>
    </row>
    <row r="74" spans="1:8" ht="14.25" customHeight="1" x14ac:dyDescent="0.25">
      <c r="A74" s="2" t="s">
        <v>170</v>
      </c>
      <c r="B74" s="12">
        <v>2026</v>
      </c>
      <c r="C74" s="2" t="s">
        <v>127</v>
      </c>
      <c r="D74" s="2" t="s">
        <v>128</v>
      </c>
      <c r="E74" s="9">
        <f t="shared" si="37"/>
        <v>5145</v>
      </c>
      <c r="F74" s="9">
        <f t="shared" si="38"/>
        <v>5985</v>
      </c>
      <c r="G74" s="9">
        <f t="shared" si="39"/>
        <v>6720</v>
      </c>
      <c r="H74" s="9">
        <f t="shared" si="40"/>
        <v>10920</v>
      </c>
    </row>
    <row r="75" spans="1:8" ht="14.25" customHeight="1" x14ac:dyDescent="0.25">
      <c r="A75" s="2" t="s">
        <v>174</v>
      </c>
      <c r="B75" s="12">
        <v>2026</v>
      </c>
      <c r="C75" s="2" t="s">
        <v>129</v>
      </c>
      <c r="D75" s="2" t="s">
        <v>130</v>
      </c>
      <c r="E75" s="9">
        <f t="shared" si="37"/>
        <v>5145</v>
      </c>
      <c r="F75" s="9">
        <f>5900*1.05</f>
        <v>6195</v>
      </c>
      <c r="G75" s="9">
        <f>6600*1.05</f>
        <v>6930</v>
      </c>
      <c r="H75" s="9">
        <f>10700*1.05</f>
        <v>11235</v>
      </c>
    </row>
    <row r="76" spans="1:8" ht="14.25" customHeight="1" x14ac:dyDescent="0.25">
      <c r="A76" s="2" t="s">
        <v>174</v>
      </c>
      <c r="B76" s="12">
        <v>2026</v>
      </c>
      <c r="C76" s="2" t="s">
        <v>131</v>
      </c>
      <c r="D76" s="2" t="s">
        <v>132</v>
      </c>
      <c r="E76" s="9">
        <f t="shared" si="37"/>
        <v>5145</v>
      </c>
      <c r="F76" s="9">
        <f t="shared" ref="F76:F80" si="41">5900*1.05</f>
        <v>6195</v>
      </c>
      <c r="G76" s="9">
        <f t="shared" ref="G76:G80" si="42">6600*1.05</f>
        <v>6930</v>
      </c>
      <c r="H76" s="9">
        <f t="shared" ref="H76:H80" si="43">10700*1.05</f>
        <v>11235</v>
      </c>
    </row>
    <row r="77" spans="1:8" ht="14.25" customHeight="1" x14ac:dyDescent="0.25">
      <c r="A77" s="2" t="s">
        <v>174</v>
      </c>
      <c r="B77" s="12">
        <v>2026</v>
      </c>
      <c r="C77" s="2" t="s">
        <v>133</v>
      </c>
      <c r="D77" s="2" t="s">
        <v>134</v>
      </c>
      <c r="E77" s="9">
        <f t="shared" si="37"/>
        <v>5145</v>
      </c>
      <c r="F77" s="9">
        <f t="shared" si="41"/>
        <v>6195</v>
      </c>
      <c r="G77" s="9">
        <f t="shared" si="42"/>
        <v>6930</v>
      </c>
      <c r="H77" s="9">
        <f t="shared" si="43"/>
        <v>11235</v>
      </c>
    </row>
    <row r="78" spans="1:8" ht="14.25" customHeight="1" x14ac:dyDescent="0.25">
      <c r="A78" s="2" t="s">
        <v>174</v>
      </c>
      <c r="B78" s="12">
        <v>2026</v>
      </c>
      <c r="C78" s="2" t="s">
        <v>135</v>
      </c>
      <c r="D78" s="2" t="s">
        <v>136</v>
      </c>
      <c r="E78" s="9">
        <f t="shared" si="37"/>
        <v>5145</v>
      </c>
      <c r="F78" s="9">
        <f t="shared" si="41"/>
        <v>6195</v>
      </c>
      <c r="G78" s="9">
        <f t="shared" si="42"/>
        <v>6930</v>
      </c>
      <c r="H78" s="9">
        <f t="shared" si="43"/>
        <v>11235</v>
      </c>
    </row>
    <row r="79" spans="1:8" ht="14.25" customHeight="1" x14ac:dyDescent="0.25">
      <c r="A79" s="2" t="s">
        <v>174</v>
      </c>
      <c r="B79" s="12">
        <v>2026</v>
      </c>
      <c r="C79" s="2" t="s">
        <v>137</v>
      </c>
      <c r="D79" s="2" t="s">
        <v>138</v>
      </c>
      <c r="E79" s="9">
        <f t="shared" si="37"/>
        <v>5145</v>
      </c>
      <c r="F79" s="9">
        <f t="shared" si="41"/>
        <v>6195</v>
      </c>
      <c r="G79" s="9">
        <f t="shared" si="42"/>
        <v>6930</v>
      </c>
      <c r="H79" s="9">
        <f t="shared" si="43"/>
        <v>11235</v>
      </c>
    </row>
    <row r="80" spans="1:8" ht="14.25" customHeight="1" x14ac:dyDescent="0.25">
      <c r="A80" s="2" t="s">
        <v>174</v>
      </c>
      <c r="B80" s="12">
        <v>2026</v>
      </c>
      <c r="C80" s="2" t="s">
        <v>139</v>
      </c>
      <c r="D80" s="2" t="s">
        <v>140</v>
      </c>
      <c r="E80" s="9">
        <f t="shared" si="37"/>
        <v>5145</v>
      </c>
      <c r="F80" s="9">
        <f t="shared" si="41"/>
        <v>6195</v>
      </c>
      <c r="G80" s="9">
        <f t="shared" si="42"/>
        <v>6930</v>
      </c>
      <c r="H80" s="9">
        <f t="shared" si="43"/>
        <v>11235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Details</vt:lpstr>
      <vt:lpstr>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dcterms:created xsi:type="dcterms:W3CDTF">2026-05-02T09:24:11Z</dcterms:created>
  <dcterms:modified xsi:type="dcterms:W3CDTF">2026-07-23T12:17:02Z</dcterms:modified>
</cp:coreProperties>
</file>